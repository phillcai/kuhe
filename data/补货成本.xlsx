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80" windowHeight="10220"/>
  </bookViews>
  <sheets>
    <sheet name="operation_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<sst xmlns="http://schemas.openxmlformats.org/spreadsheetml/2006/main" count="33" uniqueCount="32">
  <si>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Category</t>
  </si>
  <si>
    <t>Comments</t>
  </si>
  <si>
    <t>Prd CK</t>
  </si>
  <si>
    <t>包括米饭.CK应该是有实际生</t>
  </si>
  <si>
    <t>Prd OEM</t>
  </si>
  <si>
    <t>这里让采购提供</t>
  </si>
  <si>
    <t>最好是先</t>
  </si>
  <si>
    <t>on she beverage</t>
  </si>
  <si>
    <t>上架数量</t>
  </si>
  <si>
    <t>on she dessert</t>
  </si>
  <si>
    <t>total</t>
  </si>
  <si>
    <t>Avg cost of delivery/box (included bev/dessert)</t>
  </si>
  <si>
    <t>饮料甜品物流费用摊销的计</t>
  </si>
  <si>
    <t>Avg cost of delivery/box (only meals)</t>
  </si>
  <si>
    <t>Avg cost of storage cost/box</t>
  </si>
  <si>
    <t>Avg cost of maintenance/box (only meals)</t>
  </si>
  <si>
    <t>Avg cost of labor/box</t>
  </si>
  <si>
    <t>Avg cost of opex/box</t>
  </si>
  <si>
    <t>Truck</t>
  </si>
  <si>
    <t>Driver</t>
  </si>
  <si>
    <t>Opr Exe</t>
  </si>
  <si>
    <t>Truck rental</t>
  </si>
  <si>
    <t>Cash card</t>
  </si>
  <si>
    <t>Diesel cost</t>
  </si>
  <si>
    <t>Driver+Logistic staff's salary</t>
  </si>
  <si>
    <t>Driver's overtime</t>
  </si>
  <si>
    <t>Driver's allowance</t>
  </si>
  <si>
    <t>Driver's CPF ER</t>
  </si>
  <si>
    <t>Driver's FWL</t>
  </si>
  <si>
    <t>Driver's SDL</t>
  </si>
  <si>
    <t>Other Driver's related cost</t>
  </si>
  <si>
    <t>Logistic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</si>
</sst>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zoomScaleSheetLayoutView="60" topLeftCell="A10" workbookViewId="0">
      <selection activeCell="B32" sqref="B32"/>
    </sheetView>
  </sheetViews>
  <sheetFormatPr defaultColWidth="10.3846153846154" defaultRowHeight="16.8"/>
  <cols>
    <col min="1" max="1" width="43.1057692307692" customWidth="1"/>
    <col min="2" max="2" width="29.9711538461538" customWidth="1"/>
    <col min="3" max="3" width="18.7403846153846" customWidth="1"/>
    <col min="4" max="4" width="17.625" customWidth="1"/>
    <col min="5" max="5" width="23.3942307692308" customWidth="1"/>
    <col min="6" max="6" width="24.8365384615385" customWidth="1"/>
    <col min="7" max="7" width="20.9903846153846" customWidth="1"/>
    <col min="8" max="8" width="12.1730769230769" customWidth="1"/>
  </cols>
  <sheetData>
    <row r="1" spans="1:10">
      <c r="A1" t="s">
        <v>0</v>
      </c>
      <c r="B1" s="2">
        <v>45894</v>
      </c>
      <c r="C1" s="2">
        <v>45863</v>
      </c>
      <c r="D1" s="2">
        <v>45833</v>
      </c>
      <c r="E1" s="2">
        <v>45802</v>
      </c>
      <c r="F1" s="2">
        <v>45772</v>
      </c>
      <c r="G1" s="2">
        <v>45741</v>
      </c>
      <c r="H1" s="2">
        <v>45713</v>
      </c>
      <c r="I1" s="2">
        <v>45682</v>
      </c>
      <c r="J1" t="s">
        <v>1</v>
      </c>
    </row>
    <row r="2" spans="1:10">
      <c r="A2" t="s">
        <v>2</v>
      </c>
      <c r="B2">
        <v>47011</v>
      </c>
      <c r="C2">
        <v>40425</v>
      </c>
      <c r="D2">
        <v>52124</v>
      </c>
      <c r="E2">
        <v>40662</v>
      </c>
      <c r="F2">
        <v>37089</v>
      </c>
      <c r="G2">
        <v>33873</v>
      </c>
      <c r="H2">
        <v>35849</v>
      </c>
      <c r="J2" t="s">
        <v>3</v>
      </c>
    </row>
    <row r="3" spans="1:11">
      <c r="A3" t="s">
        <v>4</v>
      </c>
      <c r="B3">
        <v>22305</v>
      </c>
      <c r="C3">
        <v>14550</v>
      </c>
      <c r="D3">
        <v>8755</v>
      </c>
      <c r="E3">
        <v>9369</v>
      </c>
      <c r="F3">
        <v>9819</v>
      </c>
      <c r="G3">
        <v>13838</v>
      </c>
      <c r="H3">
        <v>13838</v>
      </c>
      <c r="J3" t="s">
        <v>5</v>
      </c>
      <c r="K3" t="s">
        <v>6</v>
      </c>
    </row>
    <row r="4" spans="1:10">
      <c r="A4" t="s">
        <v>7</v>
      </c>
      <c r="B4">
        <v>26493</v>
      </c>
      <c r="C4">
        <v>21182</v>
      </c>
      <c r="D4">
        <v>20239</v>
      </c>
      <c r="E4">
        <v>15312</v>
      </c>
      <c r="J4" t="s">
        <v>8</v>
      </c>
    </row>
    <row r="5" spans="1:10">
      <c r="A5" t="s">
        <v>9</v>
      </c>
      <c r="B5">
        <v>8184</v>
      </c>
      <c r="C5">
        <v>8863</v>
      </c>
      <c r="D5">
        <v>13295</v>
      </c>
      <c r="E5">
        <v>10638</v>
      </c>
      <c r="J5" t="s">
        <v>8</v>
      </c>
    </row>
    <row r="6" spans="1:8">
      <c r="A6" t="s">
        <v>10</v>
      </c>
      <c r="B6">
        <v>103993</v>
      </c>
      <c r="C6">
        <v>85020</v>
      </c>
      <c r="D6">
        <v>94413</v>
      </c>
      <c r="E6">
        <v>75981</v>
      </c>
      <c r="F6">
        <v>46908</v>
      </c>
      <c r="G6">
        <v>47711</v>
      </c>
      <c r="H6">
        <v>49687</v>
      </c>
    </row>
    <row r="7" spans="1:10">
      <c r="A7" t="s">
        <v>11</v>
      </c>
      <c r="B7">
        <v>0.5667</v>
      </c>
      <c r="C7">
        <v>0.6073</v>
      </c>
      <c r="D7">
        <v>0.4509</v>
      </c>
      <c r="E7">
        <v>0.5846</v>
      </c>
      <c r="F7">
        <v>0.9463</v>
      </c>
      <c r="G7">
        <v>0.6986</v>
      </c>
      <c r="H7">
        <v>0.6355</v>
      </c>
      <c r="J7" t="s">
        <v>12</v>
      </c>
    </row>
    <row r="8" s="1" customFormat="1" spans="1:8">
      <c r="A8" s="1" t="s">
        <v>13</v>
      </c>
      <c r="B8" s="1">
        <v>0.8502</v>
      </c>
      <c r="C8" s="1">
        <v>0.9392</v>
      </c>
      <c r="D8" s="1">
        <v>0.6993</v>
      </c>
      <c r="E8" s="1">
        <v>0.8879</v>
      </c>
      <c r="F8" s="1">
        <v>0.9463</v>
      </c>
      <c r="G8" s="1">
        <v>0.6986</v>
      </c>
      <c r="H8" s="1">
        <v>0.6355</v>
      </c>
    </row>
    <row r="9" spans="1:8">
      <c r="A9" t="s">
        <v>14</v>
      </c>
      <c r="B9">
        <v>0.1833</v>
      </c>
      <c r="C9">
        <v>0.2755</v>
      </c>
      <c r="D9">
        <v>0.3434</v>
      </c>
      <c r="E9">
        <v>0.327</v>
      </c>
      <c r="F9">
        <v>0.3271</v>
      </c>
      <c r="G9">
        <v>0.3722</v>
      </c>
      <c r="H9">
        <v>0.2453</v>
      </c>
    </row>
    <row r="10" spans="1:8">
      <c r="A10" t="s">
        <v>15</v>
      </c>
      <c r="B10">
        <v>0.3405</v>
      </c>
      <c r="C10">
        <v>0.3624</v>
      </c>
      <c r="D10">
        <v>0.4236</v>
      </c>
      <c r="E10">
        <v>0.4053</v>
      </c>
      <c r="F10">
        <v>0.4585</v>
      </c>
      <c r="G10">
        <v>0.243</v>
      </c>
      <c r="H10">
        <v>0.276</v>
      </c>
    </row>
    <row r="11" spans="1:8">
      <c r="A11" t="s">
        <v>16</v>
      </c>
      <c r="B11">
        <v>1.1498</v>
      </c>
      <c r="C11">
        <v>1.2463</v>
      </c>
      <c r="D11">
        <v>1.0843</v>
      </c>
      <c r="E11">
        <v>1.238</v>
      </c>
      <c r="F11">
        <v>1.3526</v>
      </c>
      <c r="G11">
        <v>1.5777</v>
      </c>
      <c r="H11">
        <v>1.5256</v>
      </c>
    </row>
    <row r="12" spans="1:8">
      <c r="A12" t="s">
        <v>17</v>
      </c>
      <c r="B12">
        <v>0.7566</v>
      </c>
      <c r="C12">
        <v>0.8528</v>
      </c>
      <c r="D12">
        <v>0.5222</v>
      </c>
      <c r="E12">
        <v>0.6458</v>
      </c>
      <c r="F12">
        <v>0.6747</v>
      </c>
      <c r="G12">
        <v>0.7339</v>
      </c>
      <c r="H12">
        <v>0.691</v>
      </c>
    </row>
    <row r="14" spans="2:8">
      <c r="B14">
        <f>B2+B3</f>
        <v>69316</v>
      </c>
      <c r="C14">
        <f t="shared" ref="C14:H14" si="0">C2+C3</f>
        <v>54975</v>
      </c>
      <c r="D14">
        <f t="shared" si="0"/>
        <v>60879</v>
      </c>
      <c r="E14">
        <f t="shared" si="0"/>
        <v>50031</v>
      </c>
      <c r="F14">
        <f t="shared" si="0"/>
        <v>46908</v>
      </c>
      <c r="G14">
        <f t="shared" si="0"/>
        <v>47711</v>
      </c>
      <c r="H14">
        <f t="shared" si="0"/>
        <v>49687</v>
      </c>
    </row>
    <row r="18" spans="1:8">
      <c r="A18" t="s">
        <v>18</v>
      </c>
      <c r="B18">
        <v>3</v>
      </c>
      <c r="C18">
        <v>2</v>
      </c>
      <c r="D18">
        <v>3</v>
      </c>
      <c r="E18">
        <v>3</v>
      </c>
      <c r="F18">
        <v>3</v>
      </c>
      <c r="G18">
        <v>3</v>
      </c>
      <c r="H18">
        <v>3</v>
      </c>
    </row>
    <row r="19" spans="1:8">
      <c r="A19" t="s">
        <v>19</v>
      </c>
      <c r="B19">
        <v>11</v>
      </c>
      <c r="C19">
        <v>9</v>
      </c>
      <c r="D19">
        <v>7</v>
      </c>
      <c r="E19">
        <v>7</v>
      </c>
      <c r="F19">
        <v>8</v>
      </c>
      <c r="G19">
        <v>6</v>
      </c>
      <c r="H19">
        <v>5</v>
      </c>
    </row>
    <row r="20" spans="1:1">
      <c r="A20" t="s">
        <v>20</v>
      </c>
    </row>
    <row r="22" spans="1:8">
      <c r="A22" t="s">
        <v>21</v>
      </c>
      <c r="B22">
        <v>6620</v>
      </c>
      <c r="C22">
        <v>4478</v>
      </c>
      <c r="D22">
        <v>6620</v>
      </c>
      <c r="E22">
        <v>6940</v>
      </c>
      <c r="F22">
        <v>6940</v>
      </c>
      <c r="G22">
        <v>6940</v>
      </c>
      <c r="H22">
        <v>6940</v>
      </c>
    </row>
    <row r="23" spans="1:8">
      <c r="A23" t="s">
        <v>22</v>
      </c>
      <c r="B23">
        <v>1800</v>
      </c>
      <c r="C23">
        <v>2000</v>
      </c>
      <c r="D23">
        <v>1400</v>
      </c>
      <c r="E23">
        <v>1600</v>
      </c>
      <c r="F23">
        <v>1400</v>
      </c>
      <c r="G23">
        <v>1300</v>
      </c>
      <c r="H23">
        <v>1300</v>
      </c>
    </row>
    <row r="24" spans="1:8">
      <c r="A24" t="s">
        <v>23</v>
      </c>
      <c r="B24">
        <v>5751.78</v>
      </c>
      <c r="C24">
        <v>4289.84</v>
      </c>
      <c r="D24">
        <v>2245.64</v>
      </c>
      <c r="E24">
        <v>3879.91</v>
      </c>
      <c r="F24">
        <v>3870.89</v>
      </c>
      <c r="G24">
        <v>2454.19</v>
      </c>
      <c r="H24">
        <v>2083.83</v>
      </c>
    </row>
    <row r="25" spans="1:8">
      <c r="A25" t="s">
        <v>24</v>
      </c>
      <c r="B25">
        <v>25301.57</v>
      </c>
      <c r="C25">
        <v>20775.59</v>
      </c>
      <c r="D25">
        <v>17421.51</v>
      </c>
      <c r="E25">
        <v>19774.2</v>
      </c>
      <c r="F25">
        <v>17445.72</v>
      </c>
      <c r="G25">
        <v>11441.34</v>
      </c>
      <c r="H25">
        <v>10000</v>
      </c>
    </row>
    <row r="26" spans="1:8">
      <c r="A26" t="s">
        <v>25</v>
      </c>
      <c r="B26">
        <v>9689.41</v>
      </c>
      <c r="C26">
        <v>11789.52</v>
      </c>
      <c r="D26">
        <v>7881.62</v>
      </c>
      <c r="E26">
        <v>5343.16</v>
      </c>
      <c r="F26">
        <v>7153.48</v>
      </c>
      <c r="G26">
        <v>4320.55</v>
      </c>
      <c r="H26">
        <v>5770.7</v>
      </c>
    </row>
    <row r="27" spans="1:8">
      <c r="A27" t="s">
        <v>26</v>
      </c>
      <c r="B27">
        <v>5140</v>
      </c>
      <c r="C27">
        <v>4250</v>
      </c>
      <c r="D27">
        <v>3548.98</v>
      </c>
      <c r="E27">
        <v>3300</v>
      </c>
      <c r="F27">
        <v>4007.7</v>
      </c>
      <c r="G27">
        <v>3897.74</v>
      </c>
      <c r="H27">
        <v>3100</v>
      </c>
    </row>
    <row r="28" spans="1:6">
      <c r="A28" t="s">
        <v>27</v>
      </c>
      <c r="B28">
        <v>746</v>
      </c>
      <c r="C28">
        <v>652</v>
      </c>
      <c r="D28">
        <v>427</v>
      </c>
      <c r="E28">
        <v>680</v>
      </c>
      <c r="F28">
        <v>660</v>
      </c>
    </row>
    <row r="29" spans="1:8">
      <c r="A29" t="s">
        <v>28</v>
      </c>
      <c r="B29">
        <v>3878.32</v>
      </c>
      <c r="C29">
        <v>3390</v>
      </c>
      <c r="D29">
        <v>3020</v>
      </c>
      <c r="E29">
        <v>2840</v>
      </c>
      <c r="F29">
        <v>2840</v>
      </c>
      <c r="G29">
        <v>2925.62</v>
      </c>
      <c r="H29">
        <v>2370</v>
      </c>
    </row>
    <row r="30" spans="1:8">
      <c r="A30" t="s">
        <v>29</v>
      </c>
      <c r="B30">
        <v>3.73</v>
      </c>
      <c r="C30">
        <v>7</v>
      </c>
      <c r="D30">
        <v>6</v>
      </c>
      <c r="E30">
        <v>63.87</v>
      </c>
      <c r="F30">
        <v>69.94</v>
      </c>
      <c r="G30">
        <v>49.15</v>
      </c>
      <c r="H30">
        <v>11</v>
      </c>
    </row>
    <row r="31" spans="1:1">
      <c r="A31" t="s">
        <v>30</v>
      </c>
    </row>
    <row r="32" spans="1:8">
      <c r="A32" t="s">
        <v>31</v>
      </c>
      <c r="B32">
        <v>58930.81</v>
      </c>
      <c r="C32">
        <v>51631.95</v>
      </c>
      <c r="D32">
        <v>42570.75</v>
      </c>
      <c r="E32">
        <v>44421.14</v>
      </c>
      <c r="F32">
        <v>44387.73</v>
      </c>
      <c r="G32">
        <v>33328.59</v>
      </c>
      <c r="H32">
        <v>31575.53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operation_cost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WPS_1657607269</cp:lastModifiedBy>
  <dcterms:created xsi:type="dcterms:W3CDTF">2025-09-11T01:49:00Z</dcterms:created>
  <dcterms:modified xsi:type="dcterms:W3CDTF">2025-09-22T19:03:28Z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2D439BC6F9D97E6D002DD16860A323FB_43</vt:lpwstr>
  </property>
  <property fmtid="{D5CDD505-2E9C-101B-9397-08002B2CF9AE}" pid="3" name="KSOProductBuildVer">
    <vt:lpwstr>2052-7.4.1.8983</vt:lpwstr>
  </property>
</Properties>
</file>